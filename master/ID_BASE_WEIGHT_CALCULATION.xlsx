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Amit Analysis\"/>
    </mc:Choice>
  </mc:AlternateContent>
  <xr:revisionPtr revIDLastSave="0" documentId="13_ncr:1_{2A85AD0A-750C-4917-AFB8-B5A629AD26A1}" xr6:coauthVersionLast="47" xr6:coauthVersionMax="47" xr10:uidLastSave="{00000000-0000-0000-0000-000000000000}"/>
  <bookViews>
    <workbookView xWindow="23880" yWindow="-120" windowWidth="29040" windowHeight="15720" xr2:uid="{00000000-000D-0000-FFFF-FFFF00000000}"/>
  </bookViews>
  <sheets>
    <sheet name=" WEIGHT CALCULATION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3" i="3" l="1"/>
  <c r="T53" i="3"/>
  <c r="R5" i="3"/>
  <c r="R19" i="3"/>
  <c r="R21" i="3"/>
  <c r="R7" i="3" l="1"/>
  <c r="R59" i="3"/>
  <c r="R67" i="3"/>
  <c r="R65" i="3"/>
  <c r="R63" i="3"/>
  <c r="R61" i="3"/>
  <c r="R25" i="3"/>
  <c r="R27" i="3"/>
  <c r="R29" i="3"/>
  <c r="R31" i="3"/>
  <c r="R33" i="3"/>
  <c r="R35" i="3"/>
  <c r="R37" i="3"/>
  <c r="R39" i="3"/>
  <c r="R41" i="3"/>
  <c r="R43" i="3"/>
  <c r="R45" i="3"/>
  <c r="R47" i="3"/>
  <c r="R49" i="3"/>
  <c r="R51" i="3"/>
  <c r="R53" i="3"/>
  <c r="R55" i="3"/>
  <c r="R57" i="3"/>
  <c r="R23" i="3"/>
  <c r="R17" i="3"/>
  <c r="R15" i="3"/>
  <c r="R13" i="3"/>
  <c r="R11" i="3"/>
  <c r="R9" i="3"/>
</calcChain>
</file>

<file path=xl/sharedStrings.xml><?xml version="1.0" encoding="utf-8"?>
<sst xmlns="http://schemas.openxmlformats.org/spreadsheetml/2006/main" count="105" uniqueCount="32">
  <si>
    <t>Dia Inch</t>
  </si>
  <si>
    <t>Dia mm</t>
  </si>
  <si>
    <t>Weld Deposition in Kgs./Joint</t>
  </si>
  <si>
    <t>STD</t>
  </si>
  <si>
    <t>XS</t>
  </si>
  <si>
    <t>XXS</t>
  </si>
  <si>
    <t>SCHEDULE/ Thickness</t>
  </si>
  <si>
    <t>0.10</t>
  </si>
  <si>
    <t>2.90</t>
  </si>
  <si>
    <t>0.20</t>
  </si>
  <si>
    <t>0.30</t>
  </si>
  <si>
    <t>7.80</t>
  </si>
  <si>
    <t>1.20</t>
  </si>
  <si>
    <t>1.50</t>
  </si>
  <si>
    <t>0.80</t>
  </si>
  <si>
    <t>2.10</t>
  </si>
  <si>
    <t>2.40</t>
  </si>
  <si>
    <t>2.70</t>
  </si>
  <si>
    <t>3.0</t>
  </si>
  <si>
    <t>4.70</t>
  </si>
  <si>
    <t>3.30</t>
  </si>
  <si>
    <t>OD X 3.14/1000</t>
  </si>
  <si>
    <t>3.60</t>
  </si>
  <si>
    <t>3.90</t>
  </si>
  <si>
    <t>4.20</t>
  </si>
  <si>
    <t>4.50</t>
  </si>
  <si>
    <t>5.40</t>
  </si>
  <si>
    <t>6.90</t>
  </si>
  <si>
    <t>19.90</t>
  </si>
  <si>
    <t>Thick.</t>
  </si>
  <si>
    <t>Weight</t>
  </si>
  <si>
    <t>Sch.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</si>
</sst>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rgb="FF000000"/>
      <name val="Calibri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16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7" fillId="2" borderId="7" xfId="0" quotePrefix="1" applyFont="1" applyFill="1" applyBorder="1" applyAlignment="1">
      <alignment horizontal="center" vertical="center"/>
    </xf>
    <xf numFmtId="0" fontId="7" fillId="3" borderId="4" xfId="0" quotePrefix="1" applyFont="1" applyFill="1" applyBorder="1" applyAlignment="1">
      <alignment horizontal="center" vertical="center"/>
    </xf>
    <xf numFmtId="0" fontId="7" fillId="2" borderId="2" xfId="0" quotePrefix="1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7" fillId="3" borderId="7" xfId="0" quotePrefix="1" applyFont="1" applyFill="1" applyBorder="1" applyAlignment="1">
      <alignment horizontal="center" vertical="center"/>
    </xf>
    <xf numFmtId="0" fontId="7" fillId="2" borderId="9" xfId="0" quotePrefix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4" borderId="7" xfId="0" quotePrefix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3" borderId="6" xfId="0" quotePrefix="1" applyFont="1" applyFill="1" applyBorder="1" applyAlignment="1">
      <alignment horizontal="center" vertical="center"/>
    </xf>
    <xf numFmtId="0" fontId="7" fillId="3" borderId="9" xfId="0" quotePrefix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quotePrefix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B023-04CF-4CFE-A706-DC94469B2DBE}">
  <dimension ref="A1:V68"/>
  <sheetViews>
    <sheetView tabSelected="1" workbookViewId="0">
      <selection activeCell="V53" sqref="V53"/>
    </sheetView>
  </sheetViews>
  <sheetFormatPr defaultRowHeight="15" x14ac:dyDescent="0.25"/>
  <cols>
    <col min="18" max="18" width="23.5703125" bestFit="1" customWidth="1"/>
  </cols>
  <sheetData>
    <row r="1" spans="1:18" ht="15.75" thickBot="1" x14ac:dyDescent="0.3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8" ht="18.75" customHeight="1" thickBot="1" x14ac:dyDescent="0.3">
      <c r="A2" s="48" t="s">
        <v>0</v>
      </c>
      <c r="B2" s="45" t="s">
        <v>1</v>
      </c>
      <c r="C2" s="17"/>
      <c r="D2" s="41" t="s">
        <v>2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3"/>
      <c r="Q2" s="1"/>
    </row>
    <row r="3" spans="1:18" ht="18.75" customHeight="1" thickBot="1" x14ac:dyDescent="0.3">
      <c r="A3" s="49"/>
      <c r="B3" s="46"/>
      <c r="C3" s="18"/>
      <c r="D3" s="41" t="s">
        <v>6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3"/>
      <c r="Q3" s="1"/>
    </row>
    <row r="4" spans="1:18" ht="21" customHeight="1" thickBot="1" x14ac:dyDescent="0.3">
      <c r="A4" s="50"/>
      <c r="B4" s="47"/>
      <c r="C4" s="36" t="s">
        <v>31</v>
      </c>
      <c r="D4" s="8">
        <v>10</v>
      </c>
      <c r="E4" s="9">
        <v>20</v>
      </c>
      <c r="F4" s="9">
        <v>30</v>
      </c>
      <c r="G4" s="9">
        <v>40</v>
      </c>
      <c r="H4" s="9">
        <v>60</v>
      </c>
      <c r="I4" s="9">
        <v>80</v>
      </c>
      <c r="J4" s="9">
        <v>100</v>
      </c>
      <c r="K4" s="9">
        <v>120</v>
      </c>
      <c r="L4" s="9">
        <v>140</v>
      </c>
      <c r="M4" s="9">
        <v>160</v>
      </c>
      <c r="N4" s="9" t="s">
        <v>3</v>
      </c>
      <c r="O4" s="9" t="s">
        <v>4</v>
      </c>
      <c r="P4" s="10" t="s">
        <v>5</v>
      </c>
      <c r="Q4" s="2"/>
      <c r="R4" s="12" t="s">
        <v>21</v>
      </c>
    </row>
    <row r="5" spans="1:18" ht="18" customHeight="1" thickBot="1" x14ac:dyDescent="0.3">
      <c r="A5" s="51">
        <v>1</v>
      </c>
      <c r="B5" s="53">
        <v>33.4</v>
      </c>
      <c r="C5" s="35" t="s">
        <v>29</v>
      </c>
      <c r="D5" s="34">
        <v>2.77</v>
      </c>
      <c r="E5" s="25"/>
      <c r="F5" s="14" t="s">
        <v>8</v>
      </c>
      <c r="G5" s="7">
        <v>3.38</v>
      </c>
      <c r="H5" s="25"/>
      <c r="I5" s="7">
        <v>4.55</v>
      </c>
      <c r="J5" s="26"/>
      <c r="K5" s="25"/>
      <c r="L5" s="27"/>
      <c r="M5" s="6">
        <v>6.35</v>
      </c>
      <c r="N5" s="25"/>
      <c r="O5" s="7">
        <v>4.55</v>
      </c>
      <c r="P5" s="7">
        <v>9.09</v>
      </c>
      <c r="Q5" s="2"/>
      <c r="R5" s="44">
        <f>33.4*3.14/1000</f>
        <v>0.10487600000000001</v>
      </c>
    </row>
    <row r="6" spans="1:18" ht="18" customHeight="1" thickBot="1" x14ac:dyDescent="0.3">
      <c r="A6" s="52"/>
      <c r="B6" s="54"/>
      <c r="C6" s="35" t="s">
        <v>30</v>
      </c>
      <c r="D6" s="4">
        <v>0.02</v>
      </c>
      <c r="E6" s="24"/>
      <c r="F6" s="11">
        <v>0.02</v>
      </c>
      <c r="G6" s="4">
        <v>0.02</v>
      </c>
      <c r="H6" s="24"/>
      <c r="I6" s="4">
        <v>0.03</v>
      </c>
      <c r="J6" s="24"/>
      <c r="K6" s="24"/>
      <c r="L6" s="24"/>
      <c r="M6" s="5">
        <v>0.04</v>
      </c>
      <c r="N6" s="29"/>
      <c r="O6" s="3">
        <v>0.03</v>
      </c>
      <c r="P6" s="4">
        <v>0.08</v>
      </c>
      <c r="Q6" s="2"/>
      <c r="R6" s="44"/>
    </row>
    <row r="7" spans="1:18" ht="18" customHeight="1" thickBot="1" x14ac:dyDescent="0.3">
      <c r="A7" s="37">
        <v>2</v>
      </c>
      <c r="B7" s="37">
        <v>60.3</v>
      </c>
      <c r="C7" s="35" t="s">
        <v>29</v>
      </c>
      <c r="D7" s="3">
        <v>2.77</v>
      </c>
      <c r="E7" s="24"/>
      <c r="F7" s="11">
        <v>3.18</v>
      </c>
      <c r="G7" s="4">
        <v>3.91</v>
      </c>
      <c r="H7" s="24"/>
      <c r="I7" s="4">
        <v>5.54</v>
      </c>
      <c r="J7" s="24"/>
      <c r="K7" s="24"/>
      <c r="L7" s="24"/>
      <c r="M7" s="5">
        <v>8.74</v>
      </c>
      <c r="N7" s="3">
        <v>3.91</v>
      </c>
      <c r="O7" s="3">
        <v>5.54</v>
      </c>
      <c r="P7" s="4">
        <v>11.07</v>
      </c>
      <c r="Q7" s="2"/>
      <c r="R7" s="39">
        <f>60.3*3.14/1000</f>
        <v>0.18934199999999998</v>
      </c>
    </row>
    <row r="8" spans="1:18" ht="18" customHeight="1" thickBot="1" x14ac:dyDescent="0.3">
      <c r="A8" s="38"/>
      <c r="B8" s="38"/>
      <c r="C8" s="35" t="s">
        <v>30</v>
      </c>
      <c r="D8" s="3">
        <v>0.03</v>
      </c>
      <c r="E8" s="24"/>
      <c r="F8" s="11">
        <v>0.03</v>
      </c>
      <c r="G8" s="4">
        <v>0.04</v>
      </c>
      <c r="H8" s="24"/>
      <c r="I8" s="4">
        <v>7.0000000000000007E-2</v>
      </c>
      <c r="J8" s="24"/>
      <c r="K8" s="24"/>
      <c r="L8" s="24"/>
      <c r="M8" s="6">
        <v>0.14000000000000001</v>
      </c>
      <c r="N8" s="3">
        <v>0.04</v>
      </c>
      <c r="O8" s="7">
        <v>7.0000000000000007E-2</v>
      </c>
      <c r="P8" s="13" t="s">
        <v>9</v>
      </c>
      <c r="Q8" s="2"/>
      <c r="R8" s="39"/>
    </row>
    <row r="9" spans="1:18" ht="18" customHeight="1" thickBot="1" x14ac:dyDescent="0.3">
      <c r="A9" s="37">
        <v>2.5</v>
      </c>
      <c r="B9" s="37">
        <v>73</v>
      </c>
      <c r="C9" s="35" t="s">
        <v>29</v>
      </c>
      <c r="D9" s="3">
        <v>3.05</v>
      </c>
      <c r="E9" s="24"/>
      <c r="F9" s="11">
        <v>4.78</v>
      </c>
      <c r="G9" s="4">
        <v>5.16</v>
      </c>
      <c r="H9" s="24"/>
      <c r="I9" s="4">
        <v>7.01</v>
      </c>
      <c r="J9" s="24"/>
      <c r="K9" s="24"/>
      <c r="L9" s="24"/>
      <c r="M9" s="6">
        <v>9.35</v>
      </c>
      <c r="N9" s="3">
        <v>5.16</v>
      </c>
      <c r="O9" s="7">
        <v>7.01</v>
      </c>
      <c r="P9" s="4">
        <v>14.02</v>
      </c>
      <c r="Q9" s="2"/>
      <c r="R9" s="39">
        <f>73*3.14/1000</f>
        <v>0.22922000000000001</v>
      </c>
    </row>
    <row r="10" spans="1:18" ht="18" customHeight="1" thickBot="1" x14ac:dyDescent="0.3">
      <c r="A10" s="38"/>
      <c r="B10" s="38"/>
      <c r="C10" s="35" t="s">
        <v>30</v>
      </c>
      <c r="D10" s="3">
        <v>0.04</v>
      </c>
      <c r="E10" s="24"/>
      <c r="F10" s="11">
        <v>7.0000000000000007E-2</v>
      </c>
      <c r="G10" s="4">
        <v>7.0000000000000007E-2</v>
      </c>
      <c r="H10" s="24"/>
      <c r="I10" s="4">
        <v>0.12</v>
      </c>
      <c r="J10" s="24"/>
      <c r="K10" s="24"/>
      <c r="L10" s="24"/>
      <c r="M10" s="6">
        <v>0.18</v>
      </c>
      <c r="N10" s="3">
        <v>7.0000000000000007E-2</v>
      </c>
      <c r="O10" s="7">
        <v>0.12</v>
      </c>
      <c r="P10" s="4">
        <v>0.36</v>
      </c>
      <c r="Q10" s="2"/>
      <c r="R10" s="39"/>
    </row>
    <row r="11" spans="1:18" ht="18" customHeight="1" thickBot="1" x14ac:dyDescent="0.3">
      <c r="A11" s="37">
        <v>3</v>
      </c>
      <c r="B11" s="37">
        <v>88.9</v>
      </c>
      <c r="C11" s="35" t="s">
        <v>29</v>
      </c>
      <c r="D11" s="3">
        <v>3.05</v>
      </c>
      <c r="E11" s="24"/>
      <c r="F11" s="11">
        <v>4.78</v>
      </c>
      <c r="G11" s="4">
        <v>5.49</v>
      </c>
      <c r="H11" s="24"/>
      <c r="I11" s="4">
        <v>7.62</v>
      </c>
      <c r="J11" s="24"/>
      <c r="K11" s="24"/>
      <c r="L11" s="24"/>
      <c r="M11" s="6">
        <v>11.13</v>
      </c>
      <c r="N11" s="3">
        <v>5.49</v>
      </c>
      <c r="O11" s="7">
        <v>7.62</v>
      </c>
      <c r="P11" s="4">
        <v>15.24</v>
      </c>
      <c r="Q11" s="2"/>
      <c r="R11" s="39">
        <f>88.9*3.14/1000</f>
        <v>0.27914600000000001</v>
      </c>
    </row>
    <row r="12" spans="1:18" ht="18" customHeight="1" thickBot="1" x14ac:dyDescent="0.3">
      <c r="A12" s="38"/>
      <c r="B12" s="38"/>
      <c r="C12" s="35" t="s">
        <v>30</v>
      </c>
      <c r="D12" s="3">
        <v>0.05</v>
      </c>
      <c r="E12" s="24"/>
      <c r="F12" s="11">
        <v>0.08</v>
      </c>
      <c r="G12" s="13" t="s">
        <v>7</v>
      </c>
      <c r="H12" s="24"/>
      <c r="I12" s="4">
        <v>0.16</v>
      </c>
      <c r="J12" s="24"/>
      <c r="K12" s="24"/>
      <c r="L12" s="24"/>
      <c r="M12" s="15" t="s">
        <v>10</v>
      </c>
      <c r="N12" s="16" t="s">
        <v>7</v>
      </c>
      <c r="O12" s="7">
        <v>0.16</v>
      </c>
      <c r="P12" s="4">
        <v>0.51</v>
      </c>
      <c r="Q12" s="2"/>
      <c r="R12" s="39"/>
    </row>
    <row r="13" spans="1:18" ht="18" customHeight="1" thickBot="1" x14ac:dyDescent="0.3">
      <c r="A13" s="37">
        <v>4</v>
      </c>
      <c r="B13" s="37">
        <v>114.3</v>
      </c>
      <c r="C13" s="35" t="s">
        <v>29</v>
      </c>
      <c r="D13" s="3">
        <v>3.05</v>
      </c>
      <c r="E13" s="24"/>
      <c r="F13" s="11">
        <v>4.78</v>
      </c>
      <c r="G13" s="4">
        <v>6.02</v>
      </c>
      <c r="H13" s="24"/>
      <c r="I13" s="4">
        <v>8.56</v>
      </c>
      <c r="J13" s="24"/>
      <c r="K13" s="11">
        <v>11.13</v>
      </c>
      <c r="L13" s="24"/>
      <c r="M13" s="6">
        <v>13.49</v>
      </c>
      <c r="N13" s="3">
        <v>6.02</v>
      </c>
      <c r="O13" s="7">
        <v>8.56</v>
      </c>
      <c r="P13" s="4">
        <v>17.489999999999998</v>
      </c>
      <c r="Q13" s="2"/>
      <c r="R13" s="39">
        <f>114.3*3.14/1000</f>
        <v>0.358902</v>
      </c>
    </row>
    <row r="14" spans="1:18" ht="18" customHeight="1" thickBot="1" x14ac:dyDescent="0.3">
      <c r="A14" s="38"/>
      <c r="B14" s="38"/>
      <c r="C14" s="35" t="s">
        <v>30</v>
      </c>
      <c r="D14" s="3">
        <v>0.06</v>
      </c>
      <c r="E14" s="24"/>
      <c r="F14" s="19" t="s">
        <v>7</v>
      </c>
      <c r="G14" s="4">
        <v>0.14000000000000001</v>
      </c>
      <c r="H14" s="24"/>
      <c r="I14" s="4">
        <v>0.25</v>
      </c>
      <c r="J14" s="24"/>
      <c r="K14" s="4">
        <v>0.38</v>
      </c>
      <c r="L14" s="24"/>
      <c r="M14" s="6">
        <v>0.53</v>
      </c>
      <c r="N14" s="3">
        <v>0.14000000000000001</v>
      </c>
      <c r="O14" s="7">
        <v>0.25</v>
      </c>
      <c r="P14" s="4">
        <v>0.84</v>
      </c>
      <c r="Q14" s="2"/>
      <c r="R14" s="39"/>
    </row>
    <row r="15" spans="1:18" ht="18" customHeight="1" thickBot="1" x14ac:dyDescent="0.3">
      <c r="A15" s="37">
        <v>5</v>
      </c>
      <c r="B15" s="37">
        <v>141.30000000000001</v>
      </c>
      <c r="C15" s="35" t="s">
        <v>29</v>
      </c>
      <c r="D15" s="3">
        <v>3.4</v>
      </c>
      <c r="E15" s="24"/>
      <c r="F15" s="24"/>
      <c r="G15" s="4">
        <v>6.55</v>
      </c>
      <c r="H15" s="24"/>
      <c r="I15" s="4">
        <v>9.5299999999999994</v>
      </c>
      <c r="J15" s="24"/>
      <c r="K15" s="4">
        <v>12.7</v>
      </c>
      <c r="L15" s="24"/>
      <c r="M15" s="6">
        <v>15.88</v>
      </c>
      <c r="N15" s="3">
        <v>6.55</v>
      </c>
      <c r="O15" s="7">
        <v>9.5299999999999994</v>
      </c>
      <c r="P15" s="4">
        <v>19.05</v>
      </c>
      <c r="Q15" s="2"/>
      <c r="R15" s="39">
        <f>141.3*3.14/1000</f>
        <v>0.44368200000000008</v>
      </c>
    </row>
    <row r="16" spans="1:18" ht="18" customHeight="1" thickBot="1" x14ac:dyDescent="0.3">
      <c r="A16" s="38"/>
      <c r="B16" s="38"/>
      <c r="C16" s="35" t="s">
        <v>30</v>
      </c>
      <c r="D16" s="3">
        <v>0.08</v>
      </c>
      <c r="E16" s="24"/>
      <c r="F16" s="24"/>
      <c r="G16" s="13" t="s">
        <v>9</v>
      </c>
      <c r="H16" s="24"/>
      <c r="I16" s="4">
        <v>0.36</v>
      </c>
      <c r="J16" s="24"/>
      <c r="K16" s="4">
        <v>0.57999999999999996</v>
      </c>
      <c r="L16" s="24"/>
      <c r="M16" s="6">
        <v>0.86</v>
      </c>
      <c r="N16" s="16" t="s">
        <v>9</v>
      </c>
      <c r="O16" s="7">
        <v>0.36</v>
      </c>
      <c r="P16" s="4">
        <v>1.19</v>
      </c>
      <c r="Q16" s="2"/>
      <c r="R16" s="39"/>
    </row>
    <row r="17" spans="1:18" ht="18" customHeight="1" thickBot="1" x14ac:dyDescent="0.3">
      <c r="A17" s="37">
        <v>6</v>
      </c>
      <c r="B17" s="37">
        <v>168.3</v>
      </c>
      <c r="C17" s="35" t="s">
        <v>29</v>
      </c>
      <c r="D17" s="3">
        <v>3.4</v>
      </c>
      <c r="E17" s="24"/>
      <c r="F17" s="24"/>
      <c r="G17" s="4">
        <v>7.11</v>
      </c>
      <c r="H17" s="24"/>
      <c r="I17" s="4">
        <v>10.97</v>
      </c>
      <c r="J17" s="24"/>
      <c r="K17" s="4">
        <v>14.27</v>
      </c>
      <c r="L17" s="24"/>
      <c r="M17" s="6">
        <v>18.260000000000002</v>
      </c>
      <c r="N17" s="3">
        <v>7.11</v>
      </c>
      <c r="O17" s="7">
        <v>10.97</v>
      </c>
      <c r="P17" s="4">
        <v>21.95</v>
      </c>
      <c r="Q17" s="2"/>
      <c r="R17" s="39">
        <f>168.3*3.14/1000</f>
        <v>0.5284620000000001</v>
      </c>
    </row>
    <row r="18" spans="1:18" ht="18" customHeight="1" thickBot="1" x14ac:dyDescent="0.3">
      <c r="A18" s="38"/>
      <c r="B18" s="38"/>
      <c r="C18" s="35" t="s">
        <v>30</v>
      </c>
      <c r="D18" s="16" t="s">
        <v>7</v>
      </c>
      <c r="E18" s="24"/>
      <c r="F18" s="24"/>
      <c r="G18" s="4">
        <v>0.27</v>
      </c>
      <c r="H18" s="24"/>
      <c r="I18" s="4">
        <v>0.55000000000000004</v>
      </c>
      <c r="J18" s="24"/>
      <c r="K18" s="4">
        <v>0.86</v>
      </c>
      <c r="L18" s="24"/>
      <c r="M18" s="6">
        <v>1.33</v>
      </c>
      <c r="N18" s="3">
        <v>0.27</v>
      </c>
      <c r="O18" s="7">
        <v>0.55000000000000004</v>
      </c>
      <c r="P18" s="4">
        <v>1.65</v>
      </c>
      <c r="Q18" s="2"/>
      <c r="R18" s="39"/>
    </row>
    <row r="19" spans="1:18" ht="18" customHeight="1" thickBot="1" x14ac:dyDescent="0.3">
      <c r="A19" s="37">
        <v>8</v>
      </c>
      <c r="B19" s="37">
        <v>219.1</v>
      </c>
      <c r="C19" s="35" t="s">
        <v>29</v>
      </c>
      <c r="D19" s="3">
        <v>3.76</v>
      </c>
      <c r="E19" s="11">
        <v>6.35</v>
      </c>
      <c r="F19" s="11">
        <v>7.04</v>
      </c>
      <c r="G19" s="11">
        <v>8.18</v>
      </c>
      <c r="H19" s="11">
        <v>10.31</v>
      </c>
      <c r="I19" s="11">
        <v>12.7</v>
      </c>
      <c r="J19" s="11">
        <v>15.09</v>
      </c>
      <c r="K19" s="11">
        <v>18.260000000000002</v>
      </c>
      <c r="L19" s="11">
        <v>20.62</v>
      </c>
      <c r="M19" s="6">
        <v>23.01</v>
      </c>
      <c r="N19" s="3">
        <v>8.18</v>
      </c>
      <c r="O19" s="7">
        <v>12.7</v>
      </c>
      <c r="P19" s="4">
        <v>22.23</v>
      </c>
      <c r="Q19" s="2"/>
      <c r="R19" s="39">
        <f>219.1*3.14/1000</f>
        <v>0.68797400000000009</v>
      </c>
    </row>
    <row r="20" spans="1:18" ht="18" customHeight="1" thickBot="1" x14ac:dyDescent="0.3">
      <c r="A20" s="38"/>
      <c r="B20" s="38"/>
      <c r="C20" s="35" t="s">
        <v>30</v>
      </c>
      <c r="D20" s="3">
        <v>0.17</v>
      </c>
      <c r="E20" s="4">
        <v>0.36</v>
      </c>
      <c r="F20" s="4">
        <v>0.42</v>
      </c>
      <c r="G20" s="4">
        <v>0.52</v>
      </c>
      <c r="H20" s="4">
        <v>0.72</v>
      </c>
      <c r="I20" s="4">
        <v>0.98</v>
      </c>
      <c r="J20" s="4">
        <v>1.28</v>
      </c>
      <c r="K20" s="4">
        <v>1.73</v>
      </c>
      <c r="L20" s="4">
        <v>1.96</v>
      </c>
      <c r="M20" s="6">
        <v>2.31</v>
      </c>
      <c r="N20" s="21">
        <v>0.52</v>
      </c>
      <c r="O20" s="22">
        <v>0.98</v>
      </c>
      <c r="P20" s="4">
        <v>2.19</v>
      </c>
      <c r="Q20" s="2"/>
      <c r="R20" s="39"/>
    </row>
    <row r="21" spans="1:18" ht="18" customHeight="1" thickBot="1" x14ac:dyDescent="0.3">
      <c r="A21" s="37">
        <v>10</v>
      </c>
      <c r="B21" s="37">
        <v>273</v>
      </c>
      <c r="C21" s="35" t="s">
        <v>29</v>
      </c>
      <c r="D21" s="3">
        <v>4.1900000000000004</v>
      </c>
      <c r="E21" s="4">
        <v>6.35</v>
      </c>
      <c r="F21" s="13" t="s">
        <v>11</v>
      </c>
      <c r="G21" s="4">
        <v>9.27</v>
      </c>
      <c r="H21" s="4">
        <v>12.7</v>
      </c>
      <c r="I21" s="4">
        <v>15.09</v>
      </c>
      <c r="J21" s="4">
        <v>18.260000000000002</v>
      </c>
      <c r="K21" s="4">
        <v>21.44</v>
      </c>
      <c r="L21" s="4">
        <v>25.4</v>
      </c>
      <c r="M21" s="6">
        <v>28.58</v>
      </c>
      <c r="N21" s="3">
        <v>9.27</v>
      </c>
      <c r="O21" s="7">
        <v>12.7</v>
      </c>
      <c r="P21" s="4">
        <v>25.4</v>
      </c>
      <c r="Q21" s="2"/>
      <c r="R21" s="39">
        <f>273*3.14/1000</f>
        <v>0.85721999999999998</v>
      </c>
    </row>
    <row r="22" spans="1:18" ht="18" customHeight="1" thickBot="1" x14ac:dyDescent="0.3">
      <c r="A22" s="38"/>
      <c r="B22" s="38"/>
      <c r="C22" s="35" t="s">
        <v>30</v>
      </c>
      <c r="D22" s="3">
        <v>0.24</v>
      </c>
      <c r="E22" s="4">
        <v>0.42</v>
      </c>
      <c r="F22" s="4">
        <v>0.56000000000000005</v>
      </c>
      <c r="G22" s="4">
        <v>0.73</v>
      </c>
      <c r="H22" s="13" t="s">
        <v>12</v>
      </c>
      <c r="I22" s="4">
        <v>1.61</v>
      </c>
      <c r="J22" s="4">
        <v>2.2400000000000002</v>
      </c>
      <c r="K22" s="4">
        <v>2.59</v>
      </c>
      <c r="L22" s="4">
        <v>3.36</v>
      </c>
      <c r="M22" s="6">
        <v>4.0599999999999996</v>
      </c>
      <c r="N22" s="3">
        <v>0.73</v>
      </c>
      <c r="O22" s="20" t="s">
        <v>12</v>
      </c>
      <c r="P22" s="4">
        <v>3.36</v>
      </c>
      <c r="Q22" s="2"/>
      <c r="R22" s="39"/>
    </row>
    <row r="23" spans="1:18" ht="18" customHeight="1" thickBot="1" x14ac:dyDescent="0.3">
      <c r="A23" s="37">
        <v>12</v>
      </c>
      <c r="B23" s="37">
        <v>323.8</v>
      </c>
      <c r="C23" s="35" t="s">
        <v>29</v>
      </c>
      <c r="D23" s="3">
        <v>4.57</v>
      </c>
      <c r="E23" s="4">
        <v>6.35</v>
      </c>
      <c r="F23" s="4">
        <v>8.3800000000000008</v>
      </c>
      <c r="G23" s="4">
        <v>10.31</v>
      </c>
      <c r="H23" s="4">
        <v>14.27</v>
      </c>
      <c r="I23" s="4">
        <v>17.48</v>
      </c>
      <c r="J23" s="4">
        <v>21.44</v>
      </c>
      <c r="K23" s="4">
        <v>25.4</v>
      </c>
      <c r="L23" s="4">
        <v>28.58</v>
      </c>
      <c r="M23" s="6">
        <v>33.32</v>
      </c>
      <c r="N23" s="3">
        <v>9.5299999999999994</v>
      </c>
      <c r="O23" s="7">
        <v>12.7</v>
      </c>
      <c r="P23" s="4">
        <v>25.4</v>
      </c>
      <c r="Q23" s="2"/>
      <c r="R23" s="39">
        <f>B23*3.14/1000</f>
        <v>1.0167320000000002</v>
      </c>
    </row>
    <row r="24" spans="1:18" ht="18" customHeight="1" thickBot="1" x14ac:dyDescent="0.3">
      <c r="A24" s="38"/>
      <c r="B24" s="38"/>
      <c r="C24" s="35" t="s">
        <v>30</v>
      </c>
      <c r="D24" s="3">
        <v>0.36</v>
      </c>
      <c r="E24" s="4">
        <v>0.54</v>
      </c>
      <c r="F24" s="4">
        <v>0.79</v>
      </c>
      <c r="G24" s="4">
        <v>1.08</v>
      </c>
      <c r="H24" s="4">
        <v>1.82</v>
      </c>
      <c r="I24" s="4">
        <v>2.5499999999999998</v>
      </c>
      <c r="J24" s="4">
        <v>3.07</v>
      </c>
      <c r="K24" s="4">
        <v>3.99</v>
      </c>
      <c r="L24" s="4">
        <v>4.8099999999999996</v>
      </c>
      <c r="M24" s="6">
        <v>6.18</v>
      </c>
      <c r="N24" s="3">
        <v>0.96</v>
      </c>
      <c r="O24" s="20" t="s">
        <v>13</v>
      </c>
      <c r="P24" s="4">
        <v>3.99</v>
      </c>
      <c r="Q24" s="2"/>
      <c r="R24" s="39"/>
    </row>
    <row r="25" spans="1:18" ht="18" customHeight="1" thickBot="1" x14ac:dyDescent="0.3">
      <c r="A25" s="37">
        <v>14</v>
      </c>
      <c r="B25" s="37">
        <v>355.6</v>
      </c>
      <c r="C25" s="35" t="s">
        <v>29</v>
      </c>
      <c r="D25" s="21">
        <v>6.35</v>
      </c>
      <c r="E25" s="11">
        <v>7.92</v>
      </c>
      <c r="F25" s="11">
        <v>9.5299999999999994</v>
      </c>
      <c r="G25" s="11">
        <v>11.13</v>
      </c>
      <c r="H25" s="11">
        <v>15.09</v>
      </c>
      <c r="I25" s="11">
        <v>19.05</v>
      </c>
      <c r="J25" s="11">
        <v>23.83</v>
      </c>
      <c r="K25" s="11">
        <v>27.79</v>
      </c>
      <c r="L25" s="11">
        <v>31.75</v>
      </c>
      <c r="M25" s="32">
        <v>35.71</v>
      </c>
      <c r="N25" s="21">
        <v>9.5299999999999994</v>
      </c>
      <c r="O25" s="31">
        <v>12.7</v>
      </c>
      <c r="P25" s="11">
        <v>35.71</v>
      </c>
      <c r="Q25" s="2"/>
      <c r="R25" s="39">
        <f t="shared" ref="R25" si="0">B25*3.14/1000</f>
        <v>1.116584</v>
      </c>
    </row>
    <row r="26" spans="1:18" ht="18" customHeight="1" thickBot="1" x14ac:dyDescent="0.3">
      <c r="A26" s="38"/>
      <c r="B26" s="38"/>
      <c r="C26" s="35" t="s">
        <v>30</v>
      </c>
      <c r="D26" s="21">
        <v>0.59</v>
      </c>
      <c r="E26" s="19" t="s">
        <v>14</v>
      </c>
      <c r="F26" s="11">
        <v>1.05</v>
      </c>
      <c r="G26" s="11">
        <v>1.34</v>
      </c>
      <c r="H26" s="11">
        <v>2.19</v>
      </c>
      <c r="I26" s="11">
        <v>3.25</v>
      </c>
      <c r="J26" s="11">
        <v>4.18</v>
      </c>
      <c r="K26" s="11">
        <v>5.29</v>
      </c>
      <c r="L26" s="11">
        <v>6.53</v>
      </c>
      <c r="M26" s="32">
        <v>7.91</v>
      </c>
      <c r="N26" s="21">
        <v>1.05</v>
      </c>
      <c r="O26" s="22">
        <v>1.65</v>
      </c>
      <c r="P26" s="11">
        <v>7.91</v>
      </c>
      <c r="Q26" s="2"/>
      <c r="R26" s="39"/>
    </row>
    <row r="27" spans="1:18" ht="18" customHeight="1" thickBot="1" x14ac:dyDescent="0.3">
      <c r="A27" s="37">
        <v>16</v>
      </c>
      <c r="B27" s="37">
        <v>406.4</v>
      </c>
      <c r="C27" s="35" t="s">
        <v>29</v>
      </c>
      <c r="D27" s="21">
        <v>6.35</v>
      </c>
      <c r="E27" s="11">
        <v>7.92</v>
      </c>
      <c r="F27" s="11">
        <v>9.5299999999999994</v>
      </c>
      <c r="G27" s="11">
        <v>12.7</v>
      </c>
      <c r="H27" s="11">
        <v>16.66</v>
      </c>
      <c r="I27" s="11">
        <v>21.44</v>
      </c>
      <c r="J27" s="11">
        <v>26.19</v>
      </c>
      <c r="K27" s="11">
        <v>30.96</v>
      </c>
      <c r="L27" s="11">
        <v>36.53</v>
      </c>
      <c r="M27" s="32">
        <v>40.49</v>
      </c>
      <c r="N27" s="21">
        <v>9.5299999999999994</v>
      </c>
      <c r="O27" s="22">
        <v>12.7</v>
      </c>
      <c r="P27" s="22">
        <v>40.49</v>
      </c>
      <c r="Q27" s="2"/>
      <c r="R27" s="39">
        <f t="shared" ref="R27" si="1">B27*3.14/1000</f>
        <v>1.2760959999999999</v>
      </c>
    </row>
    <row r="28" spans="1:18" ht="18" customHeight="1" thickBot="1" x14ac:dyDescent="0.3">
      <c r="A28" s="38"/>
      <c r="B28" s="38"/>
      <c r="C28" s="35" t="s">
        <v>30</v>
      </c>
      <c r="D28" s="21">
        <v>0.68</v>
      </c>
      <c r="E28" s="11">
        <v>0.92</v>
      </c>
      <c r="F28" s="19" t="s">
        <v>12</v>
      </c>
      <c r="G28" s="11">
        <v>1.89</v>
      </c>
      <c r="H28" s="11">
        <v>2.95</v>
      </c>
      <c r="I28" s="11">
        <v>4.08</v>
      </c>
      <c r="J28" s="11">
        <v>5.52</v>
      </c>
      <c r="K28" s="11">
        <v>7.17</v>
      </c>
      <c r="L28" s="11">
        <v>9.3800000000000008</v>
      </c>
      <c r="M28" s="32">
        <v>11.12</v>
      </c>
      <c r="N28" s="30" t="s">
        <v>12</v>
      </c>
      <c r="O28" s="22">
        <v>1.89</v>
      </c>
      <c r="P28" s="11">
        <v>11.12</v>
      </c>
      <c r="Q28" s="2"/>
      <c r="R28" s="39"/>
    </row>
    <row r="29" spans="1:18" ht="18" customHeight="1" thickBot="1" x14ac:dyDescent="0.3">
      <c r="A29" s="37">
        <v>18</v>
      </c>
      <c r="B29" s="37">
        <v>457</v>
      </c>
      <c r="C29" s="35" t="s">
        <v>29</v>
      </c>
      <c r="D29" s="21">
        <v>6.35</v>
      </c>
      <c r="E29" s="11">
        <v>7.92</v>
      </c>
      <c r="F29" s="11">
        <v>11.13</v>
      </c>
      <c r="G29" s="11">
        <v>14.27</v>
      </c>
      <c r="H29" s="11">
        <v>19.05</v>
      </c>
      <c r="I29" s="11">
        <v>23.88</v>
      </c>
      <c r="J29" s="11">
        <v>29.36</v>
      </c>
      <c r="K29" s="11">
        <v>34.93</v>
      </c>
      <c r="L29" s="11">
        <v>39.67</v>
      </c>
      <c r="M29" s="32">
        <v>45.24</v>
      </c>
      <c r="N29" s="21">
        <v>9.5299999999999994</v>
      </c>
      <c r="O29" s="22">
        <v>12.7</v>
      </c>
      <c r="P29" s="11">
        <v>45.24</v>
      </c>
      <c r="Q29" s="2"/>
      <c r="R29" s="39">
        <f t="shared" ref="R29" si="2">B29*3.14/1000</f>
        <v>1.4349799999999999</v>
      </c>
    </row>
    <row r="30" spans="1:18" ht="18" customHeight="1" thickBot="1" x14ac:dyDescent="0.3">
      <c r="A30" s="38"/>
      <c r="B30" s="38"/>
      <c r="C30" s="35" t="s">
        <v>30</v>
      </c>
      <c r="D30" s="21">
        <v>0.75</v>
      </c>
      <c r="E30" s="11">
        <v>1.02</v>
      </c>
      <c r="F30" s="11">
        <v>1.71</v>
      </c>
      <c r="G30" s="11">
        <v>2.5499999999999998</v>
      </c>
      <c r="H30" s="11">
        <v>4.1500000000000004</v>
      </c>
      <c r="I30" s="11">
        <v>5.35</v>
      </c>
      <c r="J30" s="11">
        <v>7.37</v>
      </c>
      <c r="K30" s="11">
        <v>9.74</v>
      </c>
      <c r="L30" s="11">
        <v>12.01</v>
      </c>
      <c r="M30" s="32">
        <v>14.98</v>
      </c>
      <c r="N30" s="21">
        <v>1.34</v>
      </c>
      <c r="O30" s="22">
        <v>2.11</v>
      </c>
      <c r="P30" s="11">
        <v>14.98</v>
      </c>
      <c r="Q30" s="2"/>
      <c r="R30" s="39"/>
    </row>
    <row r="31" spans="1:18" ht="18" customHeight="1" thickBot="1" x14ac:dyDescent="0.3">
      <c r="A31" s="37">
        <v>20</v>
      </c>
      <c r="B31" s="37">
        <v>508</v>
      </c>
      <c r="C31" s="35" t="s">
        <v>29</v>
      </c>
      <c r="D31" s="21">
        <v>6.35</v>
      </c>
      <c r="E31" s="11">
        <v>9.5299999999999994</v>
      </c>
      <c r="F31" s="11">
        <v>12.7</v>
      </c>
      <c r="G31" s="11">
        <v>15.09</v>
      </c>
      <c r="H31" s="11">
        <v>20.62</v>
      </c>
      <c r="I31" s="11">
        <v>26.19</v>
      </c>
      <c r="J31" s="11">
        <v>32.54</v>
      </c>
      <c r="K31" s="11">
        <v>38.1</v>
      </c>
      <c r="L31" s="11">
        <v>44.45</v>
      </c>
      <c r="M31" s="32">
        <v>50.01</v>
      </c>
      <c r="N31" s="21">
        <v>9.5299999999999994</v>
      </c>
      <c r="O31" s="22">
        <v>12.7</v>
      </c>
      <c r="P31" s="11">
        <v>50.01</v>
      </c>
      <c r="Q31" s="2"/>
      <c r="R31" s="39">
        <f t="shared" ref="R31" si="3">B31*3.14/1000</f>
        <v>1.5951200000000001</v>
      </c>
    </row>
    <row r="32" spans="1:18" ht="18" customHeight="1" thickBot="1" x14ac:dyDescent="0.3">
      <c r="A32" s="38"/>
      <c r="B32" s="38"/>
      <c r="C32" s="35" t="s">
        <v>30</v>
      </c>
      <c r="D32" s="21">
        <v>0.84</v>
      </c>
      <c r="E32" s="19" t="s">
        <v>13</v>
      </c>
      <c r="F32" s="11">
        <v>2.36</v>
      </c>
      <c r="G32" s="11">
        <v>3.13</v>
      </c>
      <c r="H32" s="11">
        <v>4.8099999999999996</v>
      </c>
      <c r="I32" s="19" t="s">
        <v>27</v>
      </c>
      <c r="J32" s="11">
        <v>9.7100000000000009</v>
      </c>
      <c r="K32" s="11">
        <v>12.57</v>
      </c>
      <c r="L32" s="11">
        <v>16.27</v>
      </c>
      <c r="M32" s="33" t="s">
        <v>28</v>
      </c>
      <c r="N32" s="30" t="s">
        <v>13</v>
      </c>
      <c r="O32" s="22">
        <v>2.36</v>
      </c>
      <c r="P32" s="19" t="s">
        <v>28</v>
      </c>
      <c r="Q32" s="2"/>
      <c r="R32" s="39"/>
    </row>
    <row r="33" spans="1:18" ht="18" customHeight="1" thickBot="1" x14ac:dyDescent="0.3">
      <c r="A33" s="37">
        <v>22</v>
      </c>
      <c r="B33" s="37">
        <v>559</v>
      </c>
      <c r="C33" s="35" t="s">
        <v>29</v>
      </c>
      <c r="D33" s="21">
        <v>6.35</v>
      </c>
      <c r="E33" s="11">
        <v>9.5299999999999994</v>
      </c>
      <c r="F33" s="11">
        <v>12.7</v>
      </c>
      <c r="G33" s="23"/>
      <c r="H33" s="11">
        <v>22.23</v>
      </c>
      <c r="I33" s="11">
        <v>28.58</v>
      </c>
      <c r="J33" s="11">
        <v>34.93</v>
      </c>
      <c r="K33" s="11">
        <v>41.28</v>
      </c>
      <c r="L33" s="11">
        <v>47.63</v>
      </c>
      <c r="M33" s="32">
        <v>53.98</v>
      </c>
      <c r="N33" s="21">
        <v>9.5299999999999994</v>
      </c>
      <c r="O33" s="22">
        <v>12.7</v>
      </c>
      <c r="P33" s="11">
        <v>53.97</v>
      </c>
      <c r="Q33" s="2"/>
      <c r="R33" s="39">
        <f t="shared" ref="R33" si="4">B33*3.14/1000</f>
        <v>1.75526</v>
      </c>
    </row>
    <row r="34" spans="1:18" ht="18" customHeight="1" thickBot="1" x14ac:dyDescent="0.3">
      <c r="A34" s="38"/>
      <c r="B34" s="38"/>
      <c r="C34" s="35" t="s">
        <v>30</v>
      </c>
      <c r="D34" s="21">
        <v>0.93</v>
      </c>
      <c r="E34" s="11">
        <v>1.66</v>
      </c>
      <c r="F34" s="11">
        <v>2.59</v>
      </c>
      <c r="G34" s="24"/>
      <c r="H34" s="11">
        <v>5.92</v>
      </c>
      <c r="I34" s="11">
        <v>8.69</v>
      </c>
      <c r="J34" s="11">
        <v>11.98</v>
      </c>
      <c r="K34" s="11">
        <v>15.8</v>
      </c>
      <c r="L34" s="11">
        <v>20.13</v>
      </c>
      <c r="M34" s="22">
        <v>24.98</v>
      </c>
      <c r="N34" s="11">
        <v>1.66</v>
      </c>
      <c r="O34" s="11">
        <v>2.59</v>
      </c>
      <c r="P34" s="11">
        <v>24.98</v>
      </c>
      <c r="Q34" s="2"/>
      <c r="R34" s="39"/>
    </row>
    <row r="35" spans="1:18" ht="18" customHeight="1" thickBot="1" x14ac:dyDescent="0.3">
      <c r="A35" s="37">
        <v>24</v>
      </c>
      <c r="B35" s="37">
        <v>610</v>
      </c>
      <c r="C35" s="35" t="s">
        <v>29</v>
      </c>
      <c r="D35" s="21">
        <v>6.35</v>
      </c>
      <c r="E35" s="11">
        <v>9.5299999999999994</v>
      </c>
      <c r="F35" s="11">
        <v>14.27</v>
      </c>
      <c r="G35" s="11">
        <v>17.48</v>
      </c>
      <c r="H35" s="11">
        <v>24.61</v>
      </c>
      <c r="I35" s="11">
        <v>30.96</v>
      </c>
      <c r="J35" s="11">
        <v>38.89</v>
      </c>
      <c r="K35" s="11">
        <v>46.02</v>
      </c>
      <c r="L35" s="11">
        <v>52.37</v>
      </c>
      <c r="M35" s="32">
        <v>59.54</v>
      </c>
      <c r="N35" s="21">
        <v>9.5299999999999994</v>
      </c>
      <c r="O35" s="22">
        <v>12.7</v>
      </c>
      <c r="P35" s="11">
        <v>59.54</v>
      </c>
      <c r="Q35" s="2"/>
      <c r="R35" s="39">
        <f t="shared" ref="R35" si="5">B35*3.14/1000</f>
        <v>1.9154</v>
      </c>
    </row>
    <row r="36" spans="1:18" ht="18" customHeight="1" thickBot="1" x14ac:dyDescent="0.3">
      <c r="A36" s="38"/>
      <c r="B36" s="38"/>
      <c r="C36" s="35" t="s">
        <v>30</v>
      </c>
      <c r="D36" s="21">
        <v>1.01</v>
      </c>
      <c r="E36" s="11">
        <v>1.81</v>
      </c>
      <c r="F36" s="11">
        <v>3.42</v>
      </c>
      <c r="G36" s="11">
        <v>4.8099999999999996</v>
      </c>
      <c r="H36" s="11">
        <v>7.52</v>
      </c>
      <c r="I36" s="11">
        <v>10.76</v>
      </c>
      <c r="J36" s="11">
        <v>15.6</v>
      </c>
      <c r="K36" s="11">
        <v>20.71</v>
      </c>
      <c r="L36" s="11">
        <v>25.86</v>
      </c>
      <c r="M36" s="32">
        <v>32.35</v>
      </c>
      <c r="N36" s="22">
        <v>1.81</v>
      </c>
      <c r="O36" s="22">
        <v>2.83</v>
      </c>
      <c r="P36" s="11">
        <v>32.35</v>
      </c>
      <c r="Q36" s="2"/>
      <c r="R36" s="39"/>
    </row>
    <row r="37" spans="1:18" ht="18" customHeight="1" thickBot="1" x14ac:dyDescent="0.3">
      <c r="A37" s="37">
        <v>26</v>
      </c>
      <c r="B37" s="37">
        <v>660</v>
      </c>
      <c r="C37" s="35" t="s">
        <v>29</v>
      </c>
      <c r="D37" s="21">
        <v>6.35</v>
      </c>
      <c r="E37" s="11">
        <v>12.7</v>
      </c>
      <c r="F37" s="24"/>
      <c r="G37" s="24"/>
      <c r="H37" s="24"/>
      <c r="I37" s="24"/>
      <c r="J37" s="24"/>
      <c r="K37" s="24"/>
      <c r="L37" s="24"/>
      <c r="M37" s="26"/>
      <c r="N37" s="21">
        <v>9.5299999999999994</v>
      </c>
      <c r="O37" s="22">
        <v>12.7</v>
      </c>
      <c r="P37" s="24"/>
      <c r="Q37" s="2"/>
      <c r="R37" s="39">
        <f t="shared" ref="R37" si="6">B37*3.14/1000</f>
        <v>2.0724</v>
      </c>
    </row>
    <row r="38" spans="1:18" ht="18" customHeight="1" thickBot="1" x14ac:dyDescent="0.3">
      <c r="A38" s="38"/>
      <c r="B38" s="38"/>
      <c r="C38" s="35" t="s">
        <v>30</v>
      </c>
      <c r="D38" s="21">
        <v>1.0900000000000001</v>
      </c>
      <c r="E38" s="11">
        <v>3.05</v>
      </c>
      <c r="F38" s="24"/>
      <c r="G38" s="24"/>
      <c r="H38" s="24"/>
      <c r="I38" s="24"/>
      <c r="J38" s="24"/>
      <c r="K38" s="24"/>
      <c r="L38" s="24"/>
      <c r="M38" s="26"/>
      <c r="N38" s="21">
        <v>1.95</v>
      </c>
      <c r="O38" s="22">
        <v>3.05</v>
      </c>
      <c r="P38" s="24"/>
      <c r="Q38" s="2"/>
      <c r="R38" s="39"/>
    </row>
    <row r="39" spans="1:18" ht="18" customHeight="1" thickBot="1" x14ac:dyDescent="0.3">
      <c r="A39" s="37">
        <v>28</v>
      </c>
      <c r="B39" s="37">
        <v>711</v>
      </c>
      <c r="C39" s="35" t="s">
        <v>29</v>
      </c>
      <c r="D39" s="21">
        <v>6.35</v>
      </c>
      <c r="E39" s="11">
        <v>12.7</v>
      </c>
      <c r="F39" s="11">
        <v>15.88</v>
      </c>
      <c r="G39" s="24"/>
      <c r="H39" s="24"/>
      <c r="I39" s="24"/>
      <c r="J39" s="24"/>
      <c r="K39" s="24"/>
      <c r="L39" s="24"/>
      <c r="M39" s="26"/>
      <c r="N39" s="21">
        <v>9.5299999999999994</v>
      </c>
      <c r="O39" s="22">
        <v>12.7</v>
      </c>
      <c r="P39" s="24"/>
      <c r="Q39" s="2"/>
      <c r="R39" s="39">
        <f t="shared" ref="R39" si="7">B39*3.14/1000</f>
        <v>2.2325399999999997</v>
      </c>
    </row>
    <row r="40" spans="1:18" ht="18" customHeight="1" thickBot="1" x14ac:dyDescent="0.3">
      <c r="A40" s="38"/>
      <c r="B40" s="38"/>
      <c r="C40" s="35" t="s">
        <v>30</v>
      </c>
      <c r="D40" s="21">
        <v>1.18</v>
      </c>
      <c r="E40" s="11">
        <v>3.28</v>
      </c>
      <c r="F40" s="11">
        <v>4.75</v>
      </c>
      <c r="G40" s="24"/>
      <c r="H40" s="24"/>
      <c r="I40" s="24"/>
      <c r="J40" s="24"/>
      <c r="K40" s="24"/>
      <c r="L40" s="24"/>
      <c r="M40" s="26"/>
      <c r="N40" s="30" t="s">
        <v>15</v>
      </c>
      <c r="O40" s="22">
        <v>3.28</v>
      </c>
      <c r="P40" s="24"/>
      <c r="Q40" s="2"/>
      <c r="R40" s="39"/>
    </row>
    <row r="41" spans="1:18" ht="18" customHeight="1" thickBot="1" x14ac:dyDescent="0.3">
      <c r="A41" s="37">
        <v>30</v>
      </c>
      <c r="B41" s="37">
        <v>762</v>
      </c>
      <c r="C41" s="35" t="s">
        <v>29</v>
      </c>
      <c r="D41" s="21">
        <v>6.35</v>
      </c>
      <c r="E41" s="11">
        <v>12.7</v>
      </c>
      <c r="F41" s="11">
        <v>15.88</v>
      </c>
      <c r="G41" s="24"/>
      <c r="H41" s="24"/>
      <c r="I41" s="24"/>
      <c r="J41" s="24"/>
      <c r="K41" s="24"/>
      <c r="L41" s="24"/>
      <c r="M41" s="26"/>
      <c r="N41" s="21">
        <v>9.5299999999999994</v>
      </c>
      <c r="O41" s="22">
        <v>12.7</v>
      </c>
      <c r="P41" s="24"/>
      <c r="Q41" s="2"/>
      <c r="R41" s="39">
        <f t="shared" ref="R41" si="8">B41*3.14/1000</f>
        <v>2.3926800000000004</v>
      </c>
    </row>
    <row r="42" spans="1:18" ht="18" customHeight="1" thickBot="1" x14ac:dyDescent="0.3">
      <c r="A42" s="38"/>
      <c r="B42" s="38"/>
      <c r="C42" s="35" t="s">
        <v>30</v>
      </c>
      <c r="D42" s="21">
        <v>1.26</v>
      </c>
      <c r="E42" s="11">
        <v>3.52</v>
      </c>
      <c r="F42" s="11">
        <v>5.09</v>
      </c>
      <c r="G42" s="24"/>
      <c r="H42" s="24"/>
      <c r="I42" s="24"/>
      <c r="J42" s="24"/>
      <c r="K42" s="24"/>
      <c r="L42" s="24"/>
      <c r="M42" s="26"/>
      <c r="N42" s="21">
        <v>2.25</v>
      </c>
      <c r="O42" s="22">
        <v>3.52</v>
      </c>
      <c r="P42" s="24"/>
      <c r="Q42" s="2"/>
      <c r="R42" s="39"/>
    </row>
    <row r="43" spans="1:18" ht="18" customHeight="1" thickBot="1" x14ac:dyDescent="0.3">
      <c r="A43" s="37">
        <v>32</v>
      </c>
      <c r="B43" s="37">
        <v>813</v>
      </c>
      <c r="C43" s="35" t="s">
        <v>29</v>
      </c>
      <c r="D43" s="21">
        <v>6.35</v>
      </c>
      <c r="E43" s="11">
        <v>12.7</v>
      </c>
      <c r="F43" s="11">
        <v>15.88</v>
      </c>
      <c r="G43" s="11">
        <v>17.48</v>
      </c>
      <c r="H43" s="24"/>
      <c r="I43" s="24"/>
      <c r="J43" s="24"/>
      <c r="K43" s="24"/>
      <c r="L43" s="24"/>
      <c r="M43" s="26"/>
      <c r="N43" s="21">
        <v>9.5299999999999994</v>
      </c>
      <c r="O43" s="22">
        <v>12.7</v>
      </c>
      <c r="P43" s="24"/>
      <c r="Q43" s="2"/>
      <c r="R43" s="39">
        <f t="shared" ref="R43" si="9">B43*3.14/1000</f>
        <v>2.5528200000000001</v>
      </c>
    </row>
    <row r="44" spans="1:18" ht="18" customHeight="1" thickBot="1" x14ac:dyDescent="0.3">
      <c r="A44" s="38"/>
      <c r="B44" s="38"/>
      <c r="C44" s="35" t="s">
        <v>30</v>
      </c>
      <c r="D44" s="21">
        <v>1.35</v>
      </c>
      <c r="E44" s="11">
        <v>3.76</v>
      </c>
      <c r="F44" s="11">
        <v>5.43</v>
      </c>
      <c r="G44" s="11">
        <v>6.39</v>
      </c>
      <c r="H44" s="24"/>
      <c r="I44" s="24"/>
      <c r="J44" s="24"/>
      <c r="K44" s="24"/>
      <c r="L44" s="24"/>
      <c r="M44" s="26"/>
      <c r="N44" s="30" t="s">
        <v>16</v>
      </c>
      <c r="O44" s="22">
        <v>3.76</v>
      </c>
      <c r="P44" s="24"/>
      <c r="Q44" s="2"/>
      <c r="R44" s="39"/>
    </row>
    <row r="45" spans="1:18" ht="18" customHeight="1" thickBot="1" x14ac:dyDescent="0.3">
      <c r="A45" s="37">
        <v>34</v>
      </c>
      <c r="B45" s="37">
        <v>864</v>
      </c>
      <c r="C45" s="35" t="s">
        <v>29</v>
      </c>
      <c r="D45" s="21">
        <v>6.35</v>
      </c>
      <c r="E45" s="11">
        <v>12.7</v>
      </c>
      <c r="F45" s="11">
        <v>15.88</v>
      </c>
      <c r="G45" s="11">
        <v>17.48</v>
      </c>
      <c r="H45" s="24"/>
      <c r="I45" s="24"/>
      <c r="J45" s="24"/>
      <c r="K45" s="24"/>
      <c r="L45" s="24"/>
      <c r="M45" s="26"/>
      <c r="N45" s="21">
        <v>9.5299999999999994</v>
      </c>
      <c r="O45" s="22">
        <v>12.7</v>
      </c>
      <c r="P45" s="24"/>
      <c r="Q45" s="2"/>
      <c r="R45" s="39">
        <f t="shared" ref="R45" si="10">B45*3.14/1000</f>
        <v>2.7129599999999998</v>
      </c>
    </row>
    <row r="46" spans="1:18" ht="18" customHeight="1" thickBot="1" x14ac:dyDescent="0.3">
      <c r="A46" s="38"/>
      <c r="B46" s="38"/>
      <c r="C46" s="35" t="s">
        <v>30</v>
      </c>
      <c r="D46" s="21">
        <v>1.43</v>
      </c>
      <c r="E46" s="11">
        <v>3.99</v>
      </c>
      <c r="F46" s="11">
        <v>5.77</v>
      </c>
      <c r="G46" s="11">
        <v>6.79</v>
      </c>
      <c r="H46" s="24"/>
      <c r="I46" s="24"/>
      <c r="J46" s="24"/>
      <c r="K46" s="24"/>
      <c r="L46" s="24"/>
      <c r="M46" s="26"/>
      <c r="N46" s="21">
        <v>2.5499999999999998</v>
      </c>
      <c r="O46" s="22">
        <v>3.99</v>
      </c>
      <c r="P46" s="24"/>
      <c r="Q46" s="2"/>
      <c r="R46" s="39"/>
    </row>
    <row r="47" spans="1:18" ht="18" customHeight="1" thickBot="1" x14ac:dyDescent="0.3">
      <c r="A47" s="37">
        <v>36</v>
      </c>
      <c r="B47" s="37">
        <v>914</v>
      </c>
      <c r="C47" s="35" t="s">
        <v>29</v>
      </c>
      <c r="D47" s="21">
        <v>6.35</v>
      </c>
      <c r="E47" s="11">
        <v>12.7</v>
      </c>
      <c r="F47" s="11">
        <v>15.88</v>
      </c>
      <c r="G47" s="11">
        <v>19.05</v>
      </c>
      <c r="H47" s="24"/>
      <c r="I47" s="24"/>
      <c r="J47" s="24"/>
      <c r="K47" s="24"/>
      <c r="L47" s="24"/>
      <c r="M47" s="26"/>
      <c r="N47" s="21">
        <v>9.5299999999999994</v>
      </c>
      <c r="O47" s="22">
        <v>12.7</v>
      </c>
      <c r="P47" s="24"/>
      <c r="Q47" s="2"/>
      <c r="R47" s="39">
        <f t="shared" ref="R47" si="11">B47*3.14/1000</f>
        <v>2.8699599999999998</v>
      </c>
    </row>
    <row r="48" spans="1:18" ht="18" customHeight="1" thickBot="1" x14ac:dyDescent="0.3">
      <c r="A48" s="38"/>
      <c r="B48" s="38"/>
      <c r="C48" s="35" t="s">
        <v>30</v>
      </c>
      <c r="D48" s="21">
        <v>1.52</v>
      </c>
      <c r="E48" s="11">
        <v>4.2300000000000004</v>
      </c>
      <c r="F48" s="11">
        <v>6.11</v>
      </c>
      <c r="G48" s="11">
        <v>8.33</v>
      </c>
      <c r="H48" s="24"/>
      <c r="I48" s="24"/>
      <c r="J48" s="24"/>
      <c r="K48" s="24"/>
      <c r="L48" s="24"/>
      <c r="M48" s="26"/>
      <c r="N48" s="30" t="s">
        <v>17</v>
      </c>
      <c r="O48" s="22">
        <v>4.2300000000000004</v>
      </c>
      <c r="P48" s="28"/>
      <c r="Q48" s="2"/>
      <c r="R48" s="39"/>
    </row>
    <row r="49" spans="1:22" ht="18" customHeight="1" thickBot="1" x14ac:dyDescent="0.3">
      <c r="A49" s="37">
        <v>38</v>
      </c>
      <c r="B49" s="37">
        <v>965</v>
      </c>
      <c r="C49" s="35" t="s">
        <v>29</v>
      </c>
      <c r="D49" s="29"/>
      <c r="E49" s="24"/>
      <c r="F49" s="24"/>
      <c r="G49" s="24"/>
      <c r="H49" s="24"/>
      <c r="I49" s="24"/>
      <c r="J49" s="24"/>
      <c r="K49" s="24"/>
      <c r="L49" s="24"/>
      <c r="M49" s="26"/>
      <c r="N49" s="21">
        <v>9.5299999999999994</v>
      </c>
      <c r="O49" s="32">
        <v>12.7</v>
      </c>
      <c r="P49" s="25"/>
      <c r="Q49" s="2"/>
      <c r="R49" s="39">
        <f t="shared" ref="R49" si="12">B49*3.14/1000</f>
        <v>3.0301</v>
      </c>
    </row>
    <row r="50" spans="1:22" ht="18" customHeight="1" thickBot="1" x14ac:dyDescent="0.3">
      <c r="A50" s="38"/>
      <c r="B50" s="38"/>
      <c r="C50" s="35" t="s">
        <v>30</v>
      </c>
      <c r="D50" s="29"/>
      <c r="E50" s="24"/>
      <c r="F50" s="24"/>
      <c r="G50" s="24"/>
      <c r="H50" s="24"/>
      <c r="I50" s="24"/>
      <c r="J50" s="24"/>
      <c r="K50" s="24"/>
      <c r="L50" s="24"/>
      <c r="M50" s="26"/>
      <c r="N50" s="32">
        <v>2.85</v>
      </c>
      <c r="O50" s="32">
        <v>4.46</v>
      </c>
      <c r="P50" s="25"/>
      <c r="Q50" s="2"/>
      <c r="R50" s="39"/>
    </row>
    <row r="51" spans="1:22" ht="18" customHeight="1" thickBot="1" x14ac:dyDescent="0.3">
      <c r="A51" s="37">
        <v>40</v>
      </c>
      <c r="B51" s="37">
        <v>1016</v>
      </c>
      <c r="C51" s="35" t="s">
        <v>29</v>
      </c>
      <c r="D51" s="29"/>
      <c r="E51" s="24"/>
      <c r="F51" s="24"/>
      <c r="G51" s="24"/>
      <c r="H51" s="24"/>
      <c r="I51" s="24"/>
      <c r="J51" s="24"/>
      <c r="K51" s="24"/>
      <c r="L51" s="24"/>
      <c r="M51" s="26"/>
      <c r="N51" s="21">
        <v>9.5299999999999994</v>
      </c>
      <c r="O51" s="32">
        <v>12.7</v>
      </c>
      <c r="P51" s="25"/>
      <c r="Q51" s="2"/>
      <c r="R51" s="39">
        <f t="shared" ref="R51" si="13">B51*3.14/1000</f>
        <v>3.1902400000000002</v>
      </c>
    </row>
    <row r="52" spans="1:22" ht="18" customHeight="1" thickBot="1" x14ac:dyDescent="0.3">
      <c r="A52" s="38"/>
      <c r="B52" s="38"/>
      <c r="C52" s="35" t="s">
        <v>30</v>
      </c>
      <c r="D52" s="29"/>
      <c r="E52" s="24"/>
      <c r="F52" s="24"/>
      <c r="G52" s="24"/>
      <c r="H52" s="24"/>
      <c r="I52" s="24"/>
      <c r="J52" s="24"/>
      <c r="K52" s="24"/>
      <c r="L52" s="24"/>
      <c r="M52" s="26"/>
      <c r="N52" s="33" t="s">
        <v>18</v>
      </c>
      <c r="O52" s="33" t="s">
        <v>19</v>
      </c>
      <c r="P52" s="25"/>
      <c r="Q52" s="2"/>
      <c r="R52" s="39"/>
    </row>
    <row r="53" spans="1:22" ht="18" customHeight="1" thickBot="1" x14ac:dyDescent="0.3">
      <c r="A53" s="37">
        <v>42</v>
      </c>
      <c r="B53" s="37">
        <v>1067</v>
      </c>
      <c r="C53" s="35" t="s">
        <v>29</v>
      </c>
      <c r="D53" s="29"/>
      <c r="E53" s="24"/>
      <c r="F53" s="24"/>
      <c r="G53" s="24"/>
      <c r="H53" s="24"/>
      <c r="I53" s="24"/>
      <c r="J53" s="24"/>
      <c r="K53" s="24"/>
      <c r="L53" s="24"/>
      <c r="M53" s="26"/>
      <c r="N53" s="21">
        <v>9.5299999999999994</v>
      </c>
      <c r="O53" s="32">
        <v>12.7</v>
      </c>
      <c r="P53" s="25"/>
      <c r="Q53" s="2"/>
      <c r="R53" s="39">
        <f t="shared" ref="R53" si="14">B53*3.14/1000</f>
        <v>3.3503799999999999</v>
      </c>
      <c r="T53">
        <f>N54/N53</f>
        <v>0.3305351521511018</v>
      </c>
      <c r="U53">
        <f>O54/O53</f>
        <v>0.38818897637795274</v>
      </c>
      <c r="V53">
        <v>6</v>
      </c>
    </row>
    <row r="54" spans="1:22" ht="18" customHeight="1" thickBot="1" x14ac:dyDescent="0.3">
      <c r="A54" s="38"/>
      <c r="B54" s="38"/>
      <c r="C54" s="35" t="s">
        <v>30</v>
      </c>
      <c r="D54" s="29"/>
      <c r="E54" s="24"/>
      <c r="F54" s="24"/>
      <c r="G54" s="24"/>
      <c r="H54" s="24"/>
      <c r="I54" s="24"/>
      <c r="J54" s="24"/>
      <c r="K54" s="24"/>
      <c r="L54" s="24"/>
      <c r="M54" s="26"/>
      <c r="N54" s="32">
        <v>3.15</v>
      </c>
      <c r="O54" s="32">
        <v>4.93</v>
      </c>
      <c r="P54" s="25"/>
      <c r="Q54" s="2"/>
      <c r="R54" s="39"/>
    </row>
    <row r="55" spans="1:22" ht="18" customHeight="1" thickBot="1" x14ac:dyDescent="0.3">
      <c r="A55" s="37">
        <v>44</v>
      </c>
      <c r="B55" s="37">
        <v>1118</v>
      </c>
      <c r="C55" s="35" t="s">
        <v>29</v>
      </c>
      <c r="D55" s="29"/>
      <c r="E55" s="24"/>
      <c r="F55" s="24"/>
      <c r="G55" s="24"/>
      <c r="H55" s="24"/>
      <c r="I55" s="24"/>
      <c r="J55" s="24"/>
      <c r="K55" s="24"/>
      <c r="L55" s="24"/>
      <c r="M55" s="26"/>
      <c r="N55" s="21">
        <v>9.5299999999999994</v>
      </c>
      <c r="O55" s="32">
        <v>12.7</v>
      </c>
      <c r="P55" s="25"/>
      <c r="Q55" s="2"/>
      <c r="R55" s="39">
        <f t="shared" ref="R55" si="15">B55*3.14/1000</f>
        <v>3.5105200000000001</v>
      </c>
    </row>
    <row r="56" spans="1:22" ht="18" customHeight="1" thickBot="1" x14ac:dyDescent="0.3">
      <c r="A56" s="38"/>
      <c r="B56" s="38"/>
      <c r="C56" s="35" t="s">
        <v>30</v>
      </c>
      <c r="D56" s="29"/>
      <c r="E56" s="24"/>
      <c r="F56" s="24"/>
      <c r="G56" s="24"/>
      <c r="H56" s="24"/>
      <c r="I56" s="24"/>
      <c r="J56" s="24"/>
      <c r="K56" s="24"/>
      <c r="L56" s="24"/>
      <c r="M56" s="26"/>
      <c r="N56" s="33" t="s">
        <v>20</v>
      </c>
      <c r="O56" s="32">
        <v>5.17</v>
      </c>
      <c r="P56" s="25"/>
      <c r="Q56" s="2"/>
      <c r="R56" s="39"/>
    </row>
    <row r="57" spans="1:22" ht="18" customHeight="1" thickBot="1" x14ac:dyDescent="0.3">
      <c r="A57" s="37">
        <v>46</v>
      </c>
      <c r="B57" s="37">
        <v>1168</v>
      </c>
      <c r="C57" s="35" t="s">
        <v>29</v>
      </c>
      <c r="D57" s="29"/>
      <c r="E57" s="24"/>
      <c r="F57" s="24"/>
      <c r="G57" s="24"/>
      <c r="H57" s="24"/>
      <c r="I57" s="24"/>
      <c r="J57" s="24"/>
      <c r="K57" s="24"/>
      <c r="L57" s="24"/>
      <c r="M57" s="26"/>
      <c r="N57" s="21">
        <v>9.5299999999999994</v>
      </c>
      <c r="O57" s="32">
        <v>12.7</v>
      </c>
      <c r="P57" s="25"/>
      <c r="Q57" s="2"/>
      <c r="R57" s="39">
        <f t="shared" ref="R57" si="16">B57*3.14/1000</f>
        <v>3.6675200000000001</v>
      </c>
    </row>
    <row r="58" spans="1:22" ht="18" customHeight="1" thickBot="1" x14ac:dyDescent="0.3">
      <c r="A58" s="38"/>
      <c r="B58" s="38"/>
      <c r="C58" s="35" t="s">
        <v>30</v>
      </c>
      <c r="D58" s="29"/>
      <c r="E58" s="24"/>
      <c r="F58" s="24"/>
      <c r="G58" s="24"/>
      <c r="H58" s="24"/>
      <c r="I58" s="24"/>
      <c r="J58" s="24"/>
      <c r="K58" s="24"/>
      <c r="L58" s="24"/>
      <c r="M58" s="26"/>
      <c r="N58" s="32">
        <v>3.45</v>
      </c>
      <c r="O58" s="32">
        <v>5.41</v>
      </c>
      <c r="P58" s="25"/>
      <c r="Q58" s="2"/>
      <c r="R58" s="39"/>
    </row>
    <row r="59" spans="1:22" ht="18" customHeight="1" thickBot="1" x14ac:dyDescent="0.3">
      <c r="A59" s="37">
        <v>48</v>
      </c>
      <c r="B59" s="37">
        <v>1219</v>
      </c>
      <c r="C59" s="35" t="s">
        <v>29</v>
      </c>
      <c r="D59" s="29"/>
      <c r="E59" s="24"/>
      <c r="F59" s="24"/>
      <c r="G59" s="24"/>
      <c r="H59" s="24"/>
      <c r="I59" s="24"/>
      <c r="J59" s="24"/>
      <c r="K59" s="24"/>
      <c r="L59" s="24"/>
      <c r="M59" s="26"/>
      <c r="N59" s="21">
        <v>9.5299999999999994</v>
      </c>
      <c r="O59" s="32">
        <v>12.7</v>
      </c>
      <c r="P59" s="25"/>
      <c r="Q59" s="2"/>
      <c r="R59" s="39">
        <f>B59*3.14/1000</f>
        <v>3.8276600000000003</v>
      </c>
    </row>
    <row r="60" spans="1:22" ht="18" customHeight="1" thickBot="1" x14ac:dyDescent="0.3">
      <c r="A60" s="38"/>
      <c r="B60" s="38"/>
      <c r="C60" s="35" t="s">
        <v>30</v>
      </c>
      <c r="D60" s="29"/>
      <c r="E60" s="24"/>
      <c r="F60" s="24"/>
      <c r="G60" s="24"/>
      <c r="H60" s="24"/>
      <c r="I60" s="24"/>
      <c r="J60" s="24"/>
      <c r="K60" s="24"/>
      <c r="L60" s="24"/>
      <c r="M60" s="26"/>
      <c r="N60" s="33" t="s">
        <v>22</v>
      </c>
      <c r="O60" s="32">
        <v>5.64</v>
      </c>
      <c r="P60" s="25"/>
      <c r="Q60" s="2"/>
      <c r="R60" s="39"/>
    </row>
    <row r="61" spans="1:22" ht="18" customHeight="1" thickBot="1" x14ac:dyDescent="0.3">
      <c r="A61" s="37">
        <v>52</v>
      </c>
      <c r="B61" s="37">
        <v>1321</v>
      </c>
      <c r="C61" s="35" t="s">
        <v>29</v>
      </c>
      <c r="D61" s="29"/>
      <c r="E61" s="24"/>
      <c r="F61" s="24"/>
      <c r="G61" s="24"/>
      <c r="H61" s="24"/>
      <c r="I61" s="24"/>
      <c r="J61" s="24"/>
      <c r="K61" s="24"/>
      <c r="L61" s="24"/>
      <c r="M61" s="26"/>
      <c r="N61" s="21">
        <v>9.5299999999999994</v>
      </c>
      <c r="O61" s="32">
        <v>12.7</v>
      </c>
      <c r="P61" s="25"/>
      <c r="Q61" s="2"/>
      <c r="R61" s="39">
        <f t="shared" ref="R61" si="17">B61*3.14/1000</f>
        <v>4.1479400000000002</v>
      </c>
    </row>
    <row r="62" spans="1:22" ht="18" customHeight="1" thickBot="1" x14ac:dyDescent="0.3">
      <c r="A62" s="38"/>
      <c r="B62" s="38"/>
      <c r="C62" s="35" t="s">
        <v>30</v>
      </c>
      <c r="D62" s="29"/>
      <c r="E62" s="24"/>
      <c r="F62" s="24"/>
      <c r="G62" s="24"/>
      <c r="H62" s="24"/>
      <c r="I62" s="24"/>
      <c r="J62" s="24"/>
      <c r="K62" s="24"/>
      <c r="L62" s="24"/>
      <c r="M62" s="26"/>
      <c r="N62" s="33" t="s">
        <v>23</v>
      </c>
      <c r="O62" s="32">
        <v>6.11</v>
      </c>
      <c r="P62" s="25"/>
      <c r="Q62" s="2"/>
      <c r="R62" s="39"/>
    </row>
    <row r="63" spans="1:22" ht="18" customHeight="1" thickBot="1" x14ac:dyDescent="0.3">
      <c r="A63" s="37">
        <v>56</v>
      </c>
      <c r="B63" s="37">
        <v>1422</v>
      </c>
      <c r="C63" s="35" t="s">
        <v>29</v>
      </c>
      <c r="D63" s="29"/>
      <c r="E63" s="24"/>
      <c r="F63" s="24"/>
      <c r="G63" s="24"/>
      <c r="H63" s="24"/>
      <c r="I63" s="24"/>
      <c r="J63" s="24"/>
      <c r="K63" s="24"/>
      <c r="L63" s="24"/>
      <c r="M63" s="26"/>
      <c r="N63" s="21">
        <v>9.5299999999999994</v>
      </c>
      <c r="O63" s="32">
        <v>12.7</v>
      </c>
      <c r="P63" s="25"/>
      <c r="Q63" s="2"/>
      <c r="R63" s="39">
        <f t="shared" ref="R63" si="18">B63*3.14/1000</f>
        <v>4.4650799999999995</v>
      </c>
    </row>
    <row r="64" spans="1:22" ht="18" customHeight="1" thickBot="1" x14ac:dyDescent="0.3">
      <c r="A64" s="38"/>
      <c r="B64" s="38"/>
      <c r="C64" s="35" t="s">
        <v>30</v>
      </c>
      <c r="D64" s="29"/>
      <c r="E64" s="24"/>
      <c r="F64" s="24"/>
      <c r="G64" s="24"/>
      <c r="H64" s="24"/>
      <c r="I64" s="24"/>
      <c r="J64" s="24"/>
      <c r="K64" s="24"/>
      <c r="L64" s="24"/>
      <c r="M64" s="26"/>
      <c r="N64" s="33" t="s">
        <v>24</v>
      </c>
      <c r="O64" s="32">
        <v>6.58</v>
      </c>
      <c r="P64" s="25"/>
      <c r="Q64" s="2"/>
      <c r="R64" s="39"/>
    </row>
    <row r="65" spans="1:18" ht="18" customHeight="1" thickBot="1" x14ac:dyDescent="0.3">
      <c r="A65" s="37">
        <v>60</v>
      </c>
      <c r="B65" s="37">
        <v>1524</v>
      </c>
      <c r="C65" s="35" t="s">
        <v>29</v>
      </c>
      <c r="D65" s="29"/>
      <c r="E65" s="24"/>
      <c r="F65" s="24"/>
      <c r="G65" s="24"/>
      <c r="H65" s="24"/>
      <c r="I65" s="24"/>
      <c r="J65" s="24"/>
      <c r="K65" s="24"/>
      <c r="L65" s="24"/>
      <c r="M65" s="26"/>
      <c r="N65" s="21">
        <v>9.5299999999999994</v>
      </c>
      <c r="O65" s="32">
        <v>12.7</v>
      </c>
      <c r="P65" s="25"/>
      <c r="Q65" s="2"/>
      <c r="R65" s="39">
        <f t="shared" ref="R65" si="19">B65*3.14/1000</f>
        <v>4.7853600000000007</v>
      </c>
    </row>
    <row r="66" spans="1:18" ht="18" customHeight="1" thickBot="1" x14ac:dyDescent="0.3">
      <c r="A66" s="38"/>
      <c r="B66" s="38"/>
      <c r="C66" s="35" t="s">
        <v>30</v>
      </c>
      <c r="D66" s="29"/>
      <c r="E66" s="24"/>
      <c r="F66" s="24"/>
      <c r="G66" s="24"/>
      <c r="H66" s="24"/>
      <c r="I66" s="24"/>
      <c r="J66" s="24"/>
      <c r="K66" s="24"/>
      <c r="L66" s="24"/>
      <c r="M66" s="26"/>
      <c r="N66" s="33" t="s">
        <v>25</v>
      </c>
      <c r="O66" s="32">
        <v>7.06</v>
      </c>
      <c r="P66" s="25"/>
      <c r="Q66" s="2"/>
      <c r="R66" s="39"/>
    </row>
    <row r="67" spans="1:18" ht="18" customHeight="1" thickBot="1" x14ac:dyDescent="0.3">
      <c r="A67" s="37">
        <v>72</v>
      </c>
      <c r="B67" s="37">
        <v>1829</v>
      </c>
      <c r="C67" s="35" t="s">
        <v>29</v>
      </c>
      <c r="D67" s="29"/>
      <c r="E67" s="24"/>
      <c r="F67" s="24"/>
      <c r="G67" s="24"/>
      <c r="H67" s="24"/>
      <c r="I67" s="24"/>
      <c r="J67" s="24"/>
      <c r="K67" s="24"/>
      <c r="L67" s="24"/>
      <c r="M67" s="26"/>
      <c r="N67" s="21">
        <v>9.5299999999999994</v>
      </c>
      <c r="O67" s="32">
        <v>12.7</v>
      </c>
      <c r="P67" s="25"/>
      <c r="Q67" s="2"/>
      <c r="R67" s="39">
        <f t="shared" ref="R67" si="20">B67*3.14/1000</f>
        <v>5.7430600000000007</v>
      </c>
    </row>
    <row r="68" spans="1:18" ht="18" customHeight="1" thickBot="1" x14ac:dyDescent="0.3">
      <c r="A68" s="38"/>
      <c r="B68" s="38"/>
      <c r="C68" s="35" t="s">
        <v>30</v>
      </c>
      <c r="D68" s="29"/>
      <c r="E68" s="24"/>
      <c r="F68" s="24"/>
      <c r="G68" s="24"/>
      <c r="H68" s="24"/>
      <c r="I68" s="24"/>
      <c r="J68" s="24"/>
      <c r="K68" s="24"/>
      <c r="L68" s="24"/>
      <c r="M68" s="26"/>
      <c r="N68" s="33" t="s">
        <v>26</v>
      </c>
      <c r="O68" s="32">
        <v>8.4499999999999993</v>
      </c>
      <c r="P68" s="25"/>
      <c r="Q68" s="2"/>
      <c r="R68" s="39"/>
    </row>
  </sheetData>
  <mergeCells count="103">
    <mergeCell ref="A49:A50"/>
    <mergeCell ref="A51:A52"/>
    <mergeCell ref="A53:A54"/>
    <mergeCell ref="A45:A46"/>
    <mergeCell ref="B2:B4"/>
    <mergeCell ref="A2:A4"/>
    <mergeCell ref="A27:A28"/>
    <mergeCell ref="A29:A30"/>
    <mergeCell ref="A31:A32"/>
    <mergeCell ref="A33:A34"/>
    <mergeCell ref="A37:A38"/>
    <mergeCell ref="A39:A40"/>
    <mergeCell ref="A41:A42"/>
    <mergeCell ref="A43:A44"/>
    <mergeCell ref="A47:A48"/>
    <mergeCell ref="A5:A6"/>
    <mergeCell ref="B5:B6"/>
    <mergeCell ref="A7:A8"/>
    <mergeCell ref="B7:B8"/>
    <mergeCell ref="A9:A10"/>
    <mergeCell ref="B9:B10"/>
    <mergeCell ref="R57:R58"/>
    <mergeCell ref="R59:R60"/>
    <mergeCell ref="B55:B56"/>
    <mergeCell ref="B57:B58"/>
    <mergeCell ref="B59:B60"/>
    <mergeCell ref="A35:A36"/>
    <mergeCell ref="A25:A26"/>
    <mergeCell ref="R51:R52"/>
    <mergeCell ref="R53:R54"/>
    <mergeCell ref="R55:R56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A57:A58"/>
    <mergeCell ref="A59:A60"/>
    <mergeCell ref="A55:A56"/>
    <mergeCell ref="R23:R24"/>
    <mergeCell ref="B25:B26"/>
    <mergeCell ref="B27:B28"/>
    <mergeCell ref="B29:B30"/>
    <mergeCell ref="B31:B32"/>
    <mergeCell ref="B33:B34"/>
    <mergeCell ref="B51:B52"/>
    <mergeCell ref="B53:B54"/>
    <mergeCell ref="B35:B36"/>
    <mergeCell ref="B37:B38"/>
    <mergeCell ref="B39:B40"/>
    <mergeCell ref="B41:B42"/>
    <mergeCell ref="B43:B44"/>
    <mergeCell ref="R47:R48"/>
    <mergeCell ref="R49:R50"/>
    <mergeCell ref="B45:B46"/>
    <mergeCell ref="B47:B48"/>
    <mergeCell ref="B49:B50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A1:M1"/>
    <mergeCell ref="N1:O1"/>
    <mergeCell ref="P1:Q1"/>
    <mergeCell ref="D2:P2"/>
    <mergeCell ref="D3:P3"/>
    <mergeCell ref="A23:A24"/>
    <mergeCell ref="B23:B24"/>
    <mergeCell ref="A17:A18"/>
    <mergeCell ref="B17:B18"/>
    <mergeCell ref="A19:A20"/>
    <mergeCell ref="B19:B20"/>
    <mergeCell ref="A21:A22"/>
    <mergeCell ref="B21:B22"/>
    <mergeCell ref="A11:A12"/>
    <mergeCell ref="B11:B12"/>
    <mergeCell ref="A13:A14"/>
    <mergeCell ref="B13:B14"/>
    <mergeCell ref="A15:A16"/>
    <mergeCell ref="B15:B16"/>
    <mergeCell ref="A65:A66"/>
    <mergeCell ref="B65:B66"/>
    <mergeCell ref="R65:R66"/>
    <mergeCell ref="A67:A68"/>
    <mergeCell ref="B67:B68"/>
    <mergeCell ref="R67:R68"/>
    <mergeCell ref="A61:A62"/>
    <mergeCell ref="B61:B62"/>
    <mergeCell ref="R61:R62"/>
    <mergeCell ref="A63:A64"/>
    <mergeCell ref="B63:B64"/>
    <mergeCell ref="R63:R6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WEIGHT CALCULATION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Bihari Lal</dc:creator>
  <cp:lastModifiedBy>Rohit Kumar Choubey</cp:lastModifiedBy>
  <dcterms:created xsi:type="dcterms:W3CDTF">2015-06-05T18:17:20Z</dcterms:created>
  <dcterms:modified xsi:type="dcterms:W3CDTF">2026-05-22T09:58:19Z</dcterms:modified>
</cp:coreProperties>
</file>